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"/>
    </mc:Choice>
  </mc:AlternateContent>
  <xr:revisionPtr revIDLastSave="0" documentId="13_ncr:1_{570BD754-27DD-491C-9954-FC11542E6922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5" i="1" l="1"/>
  <c r="W15" i="1"/>
  <c r="V15" i="1"/>
  <c r="U15" i="1"/>
  <c r="N44" i="1" l="1"/>
  <c r="N45" i="1" s="1"/>
  <c r="T15" i="1" l="1"/>
  <c r="S15" i="1"/>
  <c r="L44" i="1" l="1"/>
  <c r="B44" i="1" l="1"/>
  <c r="F44" i="1"/>
  <c r="H44" i="1"/>
  <c r="J44" i="1"/>
  <c r="D44" i="1" l="1"/>
</calcChain>
</file>

<file path=xl/sharedStrings.xml><?xml version="1.0" encoding="utf-8"?>
<sst xmlns="http://schemas.openxmlformats.org/spreadsheetml/2006/main" count="29" uniqueCount="14">
  <si>
    <t>2017 рік</t>
  </si>
  <si>
    <t>2016 рік</t>
  </si>
  <si>
    <t>2015 рік</t>
  </si>
  <si>
    <t>2014 рік</t>
  </si>
  <si>
    <t>2013 рік</t>
  </si>
  <si>
    <t>Сума, грн</t>
  </si>
  <si>
    <t>Дата</t>
  </si>
  <si>
    <t>2018 рік</t>
  </si>
  <si>
    <t>Venta</t>
  </si>
  <si>
    <t>Asteriya</t>
  </si>
  <si>
    <t>Місяць</t>
  </si>
  <si>
    <t>Orbis</t>
  </si>
  <si>
    <t>2019 рік</t>
  </si>
  <si>
    <t xml:space="preserve">Всього: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</si>
</sst>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DE397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theme="3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FF0000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FF0000"/>
      </bottom>
      <diagonal/>
    </border>
    <border>
      <left style="medium">
        <color indexed="64"/>
      </left>
      <right/>
      <top/>
      <bottom style="thin">
        <color rgb="FFFF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7" xfId="0" applyFont="1" applyBorder="1"/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1" fillId="0" borderId="9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4" fontId="2" fillId="0" borderId="2" xfId="0" applyNumberFormat="1" applyFont="1" applyBorder="1"/>
    <xf numFmtId="164" fontId="2" fillId="0" borderId="3" xfId="0" applyNumberFormat="1" applyFont="1" applyBorder="1"/>
    <xf numFmtId="0" fontId="2" fillId="0" borderId="14" xfId="0" applyFont="1" applyBorder="1"/>
    <xf numFmtId="2" fontId="2" fillId="3" borderId="10" xfId="0" applyNumberFormat="1" applyFont="1" applyFill="1" applyBorder="1"/>
    <xf numFmtId="2" fontId="2" fillId="4" borderId="10" xfId="0" applyNumberFormat="1" applyFont="1" applyFill="1" applyBorder="1"/>
    <xf numFmtId="2" fontId="2" fillId="5" borderId="10" xfId="0" applyNumberFormat="1" applyFont="1" applyFill="1" applyBorder="1"/>
    <xf numFmtId="0" fontId="2" fillId="0" borderId="4" xfId="0" applyFont="1" applyBorder="1"/>
    <xf numFmtId="0" fontId="2" fillId="0" borderId="5" xfId="0" applyFont="1" applyBorder="1"/>
    <xf numFmtId="4" fontId="2" fillId="0" borderId="4" xfId="0" applyNumberFormat="1" applyFont="1" applyBorder="1"/>
    <xf numFmtId="164" fontId="2" fillId="0" borderId="5" xfId="0" applyNumberFormat="1" applyFont="1" applyBorder="1"/>
    <xf numFmtId="0" fontId="2" fillId="0" borderId="15" xfId="0" applyFont="1" applyBorder="1"/>
    <xf numFmtId="2" fontId="2" fillId="3" borderId="11" xfId="0" applyNumberFormat="1" applyFont="1" applyFill="1" applyBorder="1"/>
    <xf numFmtId="2" fontId="2" fillId="4" borderId="19" xfId="0" applyNumberFormat="1" applyFont="1" applyFill="1" applyBorder="1"/>
    <xf numFmtId="2" fontId="2" fillId="5" borderId="19" xfId="0" applyNumberFormat="1" applyFont="1" applyFill="1" applyBorder="1"/>
    <xf numFmtId="0" fontId="2" fillId="0" borderId="6" xfId="0" applyFont="1" applyBorder="1"/>
    <xf numFmtId="164" fontId="2" fillId="0" borderId="7" xfId="0" applyNumberFormat="1" applyFont="1" applyBorder="1"/>
    <xf numFmtId="4" fontId="2" fillId="0" borderId="6" xfId="0" applyNumberFormat="1" applyFont="1" applyBorder="1"/>
    <xf numFmtId="2" fontId="2" fillId="4" borderId="17" xfId="0" applyNumberFormat="1" applyFont="1" applyFill="1" applyBorder="1"/>
    <xf numFmtId="2" fontId="2" fillId="5" borderId="17" xfId="0" applyNumberFormat="1" applyFont="1" applyFill="1" applyBorder="1"/>
    <xf numFmtId="164" fontId="2" fillId="0" borderId="0" xfId="0" applyNumberFormat="1" applyFont="1"/>
    <xf numFmtId="4" fontId="2" fillId="0" borderId="7" xfId="0" applyNumberFormat="1" applyFon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0" fontId="2" fillId="0" borderId="16" xfId="0" applyFont="1" applyBorder="1"/>
    <xf numFmtId="2" fontId="2" fillId="3" borderId="12" xfId="0" applyNumberFormat="1" applyFont="1" applyFill="1" applyBorder="1"/>
    <xf numFmtId="2" fontId="2" fillId="4" borderId="18" xfId="0" applyNumberFormat="1" applyFont="1" applyFill="1" applyBorder="1"/>
    <xf numFmtId="2" fontId="2" fillId="5" borderId="18" xfId="0" applyNumberFormat="1" applyFont="1" applyFill="1" applyBorder="1"/>
    <xf numFmtId="0" fontId="2" fillId="0" borderId="1" xfId="0" applyFont="1" applyBorder="1" applyAlignment="1">
      <alignment horizontal="right"/>
    </xf>
    <xf numFmtId="4" fontId="2" fillId="2" borderId="1" xfId="0" applyNumberFormat="1" applyFont="1" applyFill="1" applyBorder="1"/>
    <xf numFmtId="4" fontId="2" fillId="2" borderId="7" xfId="0" applyNumberFormat="1" applyFont="1" applyFill="1" applyBorder="1"/>
    <xf numFmtId="14" fontId="2" fillId="0" borderId="0" xfId="0" applyNumberFormat="1" applyFont="1"/>
    <xf numFmtId="49" fontId="2" fillId="0" borderId="0" xfId="0" applyNumberFormat="1" applyFont="1"/>
    <xf numFmtId="4" fontId="2" fillId="2" borderId="6" xfId="0" applyNumberFormat="1" applyFont="1" applyFill="1" applyBorder="1"/>
    <xf numFmtId="164" fontId="2" fillId="2" borderId="7" xfId="0" applyNumberFormat="1" applyFont="1" applyFill="1" applyBorder="1"/>
    <xf numFmtId="4" fontId="2" fillId="0" borderId="0" xfId="0" applyNumberFormat="1" applyFont="1"/>
    <xf numFmtId="164" fontId="2" fillId="0" borderId="20" xfId="0" applyNumberFormat="1" applyFont="1" applyBorder="1"/>
    <xf numFmtId="164" fontId="2" fillId="0" borderId="21" xfId="0" applyNumberFormat="1" applyFont="1" applyBorder="1"/>
    <xf numFmtId="4" fontId="2" fillId="0" borderId="22" xfId="0" applyNumberFormat="1" applyFont="1" applyBorder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2" fillId="0" borderId="7" xfId="0" applyFont="1" applyBorder="1"/>
    <xf numFmtId="49" fontId="1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5353"/>
      <color rgb="FF9DE397"/>
      <color rgb="FF00B050"/>
      <color rgb="FF66FF33"/>
      <color rgb="FF99FF99"/>
      <color rgb="FF66FFFF"/>
      <color rgb="FF0066FF"/>
      <color rgb="FF0000FF"/>
      <color rgb="FFCC33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45"/>
  <sheetViews>
    <sheetView tabSelected="1" workbookViewId="0">
      <selection activeCell="N18" sqref="N18"/>
    </sheetView>
  </sheetViews>
  <sheetFormatPr defaultRowHeight="15" x14ac:dyDescent="0.25"/>
  <cols>
    <col min="1" max="1" width="9.140625" style="3"/>
    <col min="2" max="2" width="9.7109375" style="3" bestFit="1" customWidth="1"/>
    <col min="3" max="3" width="5.5703125" style="3" bestFit="1" customWidth="1"/>
    <col min="4" max="4" width="9.7109375" style="3" bestFit="1" customWidth="1"/>
    <col min="5" max="5" width="5.5703125" style="33" bestFit="1" customWidth="1"/>
    <col min="6" max="6" width="9.7109375" style="3" bestFit="1" customWidth="1"/>
    <col min="7" max="7" width="5.5703125" style="33" bestFit="1" customWidth="1"/>
    <col min="8" max="8" width="9.7109375" style="3" bestFit="1" customWidth="1"/>
    <col min="9" max="9" width="5.5703125" style="33" bestFit="1" customWidth="1"/>
    <col min="10" max="10" width="9.7109375" style="3" bestFit="1" customWidth="1"/>
    <col min="11" max="11" width="5.5703125" style="33" bestFit="1" customWidth="1"/>
    <col min="12" max="12" width="9.7109375" style="3" bestFit="1" customWidth="1"/>
    <col min="13" max="13" width="5.28515625" style="33" bestFit="1" customWidth="1"/>
    <col min="14" max="14" width="9.7109375" style="3" bestFit="1" customWidth="1"/>
    <col min="15" max="15" width="5.28515625" style="33" bestFit="1" customWidth="1"/>
    <col min="16" max="16" width="10" style="3" bestFit="1" customWidth="1"/>
    <col min="17" max="18" width="10.140625" style="3" bestFit="1" customWidth="1"/>
    <col min="19" max="20" width="9" style="3" bestFit="1" customWidth="1"/>
    <col min="21" max="27" width="10.140625" style="3" bestFit="1" customWidth="1"/>
    <col min="28" max="16384" width="9.140625" style="3"/>
  </cols>
  <sheetData>
    <row r="1" spans="2:26" ht="15.75" thickBot="1" x14ac:dyDescent="0.3">
      <c r="B1" s="58" t="s">
        <v>4</v>
      </c>
      <c r="C1" s="60"/>
      <c r="D1" s="58" t="s">
        <v>3</v>
      </c>
      <c r="E1" s="60"/>
      <c r="F1" s="58" t="s">
        <v>2</v>
      </c>
      <c r="G1" s="60"/>
      <c r="H1" s="61" t="s">
        <v>1</v>
      </c>
      <c r="I1" s="62"/>
      <c r="J1" s="58" t="s">
        <v>0</v>
      </c>
      <c r="K1" s="60"/>
      <c r="L1" s="58" t="s">
        <v>7</v>
      </c>
      <c r="M1" s="59"/>
      <c r="N1" s="58" t="s">
        <v>12</v>
      </c>
      <c r="O1" s="59"/>
      <c r="R1" s="55">
        <v>2018</v>
      </c>
      <c r="S1" s="56"/>
      <c r="T1" s="57"/>
      <c r="U1" s="55">
        <v>2019</v>
      </c>
      <c r="V1" s="56"/>
      <c r="W1" s="57"/>
    </row>
    <row r="2" spans="2:26" ht="15.75" thickBot="1" x14ac:dyDescent="0.3">
      <c r="B2" s="4" t="s">
        <v>5</v>
      </c>
      <c r="C2" s="5" t="s">
        <v>6</v>
      </c>
      <c r="D2" s="2" t="s">
        <v>5</v>
      </c>
      <c r="E2" s="6" t="s">
        <v>6</v>
      </c>
      <c r="F2" s="4" t="s">
        <v>5</v>
      </c>
      <c r="G2" s="6" t="s">
        <v>6</v>
      </c>
      <c r="H2" s="5" t="s">
        <v>5</v>
      </c>
      <c r="I2" s="7" t="s">
        <v>6</v>
      </c>
      <c r="J2" s="8" t="s">
        <v>5</v>
      </c>
      <c r="K2" s="7" t="s">
        <v>6</v>
      </c>
      <c r="L2" s="8" t="s">
        <v>5</v>
      </c>
      <c r="M2" s="7" t="s">
        <v>6</v>
      </c>
      <c r="N2" s="8" t="s">
        <v>5</v>
      </c>
      <c r="O2" s="7" t="s">
        <v>6</v>
      </c>
      <c r="Q2" s="7" t="s">
        <v>10</v>
      </c>
      <c r="R2" s="9" t="s">
        <v>8</v>
      </c>
      <c r="S2" s="10" t="s">
        <v>9</v>
      </c>
      <c r="T2" s="11" t="s">
        <v>11</v>
      </c>
      <c r="U2" s="9" t="s">
        <v>8</v>
      </c>
      <c r="V2" s="10" t="s">
        <v>9</v>
      </c>
      <c r="W2" s="11" t="s">
        <v>11</v>
      </c>
    </row>
    <row r="3" spans="2:26" x14ac:dyDescent="0.25">
      <c r="B3" s="12"/>
      <c r="C3" s="13"/>
      <c r="D3" s="14">
        <v>1198.1300000000001</v>
      </c>
      <c r="E3" s="15">
        <v>41642</v>
      </c>
      <c r="F3" s="14">
        <v>1445.82</v>
      </c>
      <c r="G3" s="15">
        <v>42010</v>
      </c>
      <c r="H3" s="14">
        <v>500</v>
      </c>
      <c r="I3" s="15">
        <v>42372</v>
      </c>
      <c r="J3" s="14">
        <v>2747.78</v>
      </c>
      <c r="K3" s="15">
        <v>42740</v>
      </c>
      <c r="L3" s="14">
        <v>3040.52</v>
      </c>
      <c r="M3" s="15">
        <v>43105</v>
      </c>
      <c r="N3" s="14">
        <v>1010.96</v>
      </c>
      <c r="O3" s="15">
        <v>43468</v>
      </c>
      <c r="Q3" s="16">
        <v>1</v>
      </c>
      <c r="R3" s="17">
        <v>1000</v>
      </c>
      <c r="S3" s="18">
        <v>1000</v>
      </c>
      <c r="T3" s="19"/>
      <c r="U3" s="17">
        <v>1000</v>
      </c>
      <c r="V3" s="18">
        <v>1000</v>
      </c>
      <c r="W3" s="19"/>
    </row>
    <row r="4" spans="2:26" x14ac:dyDescent="0.25">
      <c r="B4" s="20"/>
      <c r="C4" s="21"/>
      <c r="D4" s="22">
        <v>646</v>
      </c>
      <c r="E4" s="23">
        <v>41659</v>
      </c>
      <c r="F4" s="22">
        <v>574</v>
      </c>
      <c r="G4" s="23">
        <v>42020</v>
      </c>
      <c r="H4" s="22">
        <v>2148.38</v>
      </c>
      <c r="I4" s="23">
        <v>42374</v>
      </c>
      <c r="J4" s="22">
        <v>1600</v>
      </c>
      <c r="K4" s="23">
        <v>42740</v>
      </c>
      <c r="L4" s="22">
        <v>2063</v>
      </c>
      <c r="M4" s="23">
        <v>43119</v>
      </c>
      <c r="N4" s="22">
        <v>4196.3900000000003</v>
      </c>
      <c r="O4" s="23">
        <v>43469</v>
      </c>
      <c r="Q4" s="24">
        <v>2</v>
      </c>
      <c r="R4" s="25">
        <v>1000</v>
      </c>
      <c r="S4" s="26">
        <v>1000</v>
      </c>
      <c r="T4" s="27"/>
      <c r="U4" s="25">
        <v>1000</v>
      </c>
      <c r="V4" s="26">
        <v>1000</v>
      </c>
      <c r="W4" s="27"/>
    </row>
    <row r="5" spans="2:26" ht="15.75" thickBot="1" x14ac:dyDescent="0.3">
      <c r="B5" s="28"/>
      <c r="C5" s="1"/>
      <c r="D5" s="28"/>
      <c r="E5" s="29"/>
      <c r="F5" s="28"/>
      <c r="G5" s="29"/>
      <c r="H5" s="30">
        <v>1177</v>
      </c>
      <c r="I5" s="29">
        <v>42388</v>
      </c>
      <c r="J5" s="30">
        <v>1399</v>
      </c>
      <c r="K5" s="29">
        <v>42754</v>
      </c>
      <c r="L5" s="30"/>
      <c r="M5" s="29"/>
      <c r="N5" s="30">
        <v>2159</v>
      </c>
      <c r="O5" s="29">
        <v>43486</v>
      </c>
      <c r="P5" s="48"/>
      <c r="Q5" s="24">
        <v>3</v>
      </c>
      <c r="R5" s="25">
        <v>1000</v>
      </c>
      <c r="S5" s="31">
        <v>1000</v>
      </c>
      <c r="T5" s="32"/>
      <c r="U5" s="25">
        <v>1000</v>
      </c>
      <c r="V5" s="31">
        <v>1000</v>
      </c>
      <c r="W5" s="27">
        <v>4750</v>
      </c>
    </row>
    <row r="6" spans="2:26" x14ac:dyDescent="0.25">
      <c r="B6" s="12"/>
      <c r="C6" s="13"/>
      <c r="D6" s="14">
        <v>1321.37</v>
      </c>
      <c r="E6" s="15">
        <v>41676</v>
      </c>
      <c r="F6" s="14">
        <v>2862.58</v>
      </c>
      <c r="G6" s="15">
        <v>42040</v>
      </c>
      <c r="H6" s="14">
        <v>2817.59</v>
      </c>
      <c r="I6" s="15">
        <v>42404</v>
      </c>
      <c r="J6" s="14">
        <v>3206.28</v>
      </c>
      <c r="K6" s="15">
        <v>42772</v>
      </c>
      <c r="L6" s="14">
        <v>4510.3100000000004</v>
      </c>
      <c r="M6" s="15">
        <v>43136</v>
      </c>
      <c r="N6" s="14">
        <v>6723.5</v>
      </c>
      <c r="O6" s="15">
        <v>43501</v>
      </c>
      <c r="Q6" s="24">
        <v>4</v>
      </c>
      <c r="R6" s="25">
        <v>1000</v>
      </c>
      <c r="S6" s="31">
        <v>1000</v>
      </c>
      <c r="T6" s="32"/>
      <c r="U6" s="25">
        <v>1000</v>
      </c>
      <c r="V6" s="31">
        <v>1000</v>
      </c>
      <c r="W6" s="32">
        <v>5500</v>
      </c>
    </row>
    <row r="7" spans="2:26" x14ac:dyDescent="0.25">
      <c r="B7" s="20"/>
      <c r="C7" s="21"/>
      <c r="D7" s="22">
        <v>785</v>
      </c>
      <c r="E7" s="23">
        <v>41689</v>
      </c>
      <c r="F7" s="22">
        <v>1108</v>
      </c>
      <c r="G7" s="23">
        <v>42053</v>
      </c>
      <c r="H7" s="22">
        <v>1000</v>
      </c>
      <c r="I7" s="23">
        <v>42412</v>
      </c>
      <c r="J7" s="22">
        <v>2400</v>
      </c>
      <c r="K7" s="33">
        <v>42782</v>
      </c>
      <c r="L7" s="22">
        <v>4247</v>
      </c>
      <c r="M7" s="23">
        <v>43150</v>
      </c>
      <c r="N7" s="22">
        <v>3393</v>
      </c>
      <c r="O7" s="23">
        <v>43515</v>
      </c>
      <c r="Q7" s="24">
        <v>5</v>
      </c>
      <c r="R7" s="25">
        <v>1000</v>
      </c>
      <c r="S7" s="31">
        <v>1000</v>
      </c>
      <c r="T7" s="32"/>
      <c r="U7" s="25"/>
      <c r="V7" s="31"/>
      <c r="W7" s="32"/>
    </row>
    <row r="8" spans="2:26" ht="15.75" thickBot="1" x14ac:dyDescent="0.3">
      <c r="B8" s="28"/>
      <c r="C8" s="1"/>
      <c r="D8" s="28"/>
      <c r="E8" s="29"/>
      <c r="F8" s="28"/>
      <c r="G8" s="29"/>
      <c r="H8" s="30">
        <v>1478</v>
      </c>
      <c r="I8" s="29">
        <v>42418</v>
      </c>
      <c r="J8" s="30">
        <v>1942</v>
      </c>
      <c r="K8" s="29">
        <v>42786</v>
      </c>
      <c r="L8" s="30"/>
      <c r="M8" s="29"/>
      <c r="N8" s="51"/>
      <c r="O8" s="50"/>
      <c r="P8" s="48"/>
      <c r="Q8" s="24">
        <v>6</v>
      </c>
      <c r="R8" s="25">
        <v>1000</v>
      </c>
      <c r="S8" s="31">
        <v>1000</v>
      </c>
      <c r="T8" s="32"/>
      <c r="U8" s="25"/>
      <c r="V8" s="31"/>
      <c r="W8" s="32"/>
    </row>
    <row r="9" spans="2:26" x14ac:dyDescent="0.25">
      <c r="B9" s="12"/>
      <c r="C9" s="13"/>
      <c r="D9" s="14">
        <v>1152.9100000000001</v>
      </c>
      <c r="E9" s="15">
        <v>41703</v>
      </c>
      <c r="F9" s="14">
        <v>1512.92</v>
      </c>
      <c r="G9" s="15">
        <v>42068</v>
      </c>
      <c r="H9" s="14">
        <v>2311.59</v>
      </c>
      <c r="I9" s="15">
        <v>42432</v>
      </c>
      <c r="J9" s="14">
        <v>2658.28</v>
      </c>
      <c r="K9" s="15">
        <v>42800</v>
      </c>
      <c r="L9" s="14">
        <v>4382.8900000000003</v>
      </c>
      <c r="M9" s="49">
        <v>43164</v>
      </c>
      <c r="N9" s="14">
        <v>6519.9</v>
      </c>
      <c r="O9" s="15">
        <v>43528</v>
      </c>
      <c r="Q9" s="24">
        <v>7</v>
      </c>
      <c r="R9" s="25">
        <v>1000</v>
      </c>
      <c r="S9" s="31">
        <v>1000</v>
      </c>
      <c r="T9" s="32"/>
      <c r="U9" s="25"/>
      <c r="V9" s="31"/>
      <c r="W9" s="32"/>
    </row>
    <row r="10" spans="2:26" ht="15.75" thickBot="1" x14ac:dyDescent="0.3">
      <c r="B10" s="30"/>
      <c r="C10" s="34"/>
      <c r="D10" s="30">
        <v>658</v>
      </c>
      <c r="E10" s="29">
        <v>41717</v>
      </c>
      <c r="F10" s="30">
        <v>878</v>
      </c>
      <c r="G10" s="29">
        <v>42080</v>
      </c>
      <c r="H10" s="30">
        <v>775</v>
      </c>
      <c r="I10" s="29">
        <v>42447</v>
      </c>
      <c r="J10" s="30">
        <v>1594</v>
      </c>
      <c r="K10" s="29">
        <v>42814</v>
      </c>
      <c r="L10" s="30">
        <v>2046</v>
      </c>
      <c r="M10" s="29">
        <v>43178</v>
      </c>
      <c r="N10" s="30">
        <v>2924</v>
      </c>
      <c r="O10" s="29">
        <v>43545</v>
      </c>
      <c r="Q10" s="24">
        <v>8</v>
      </c>
      <c r="R10" s="25">
        <v>1000</v>
      </c>
      <c r="S10" s="31">
        <v>1000</v>
      </c>
      <c r="T10" s="32"/>
      <c r="U10" s="25"/>
      <c r="V10" s="31"/>
      <c r="W10" s="32"/>
    </row>
    <row r="11" spans="2:26" x14ac:dyDescent="0.25">
      <c r="B11" s="14"/>
      <c r="C11" s="35"/>
      <c r="D11" s="14">
        <v>1990</v>
      </c>
      <c r="E11" s="15">
        <v>41730</v>
      </c>
      <c r="F11" s="14">
        <v>1676.94</v>
      </c>
      <c r="G11" s="15">
        <v>42100</v>
      </c>
      <c r="H11" s="14">
        <v>2548.81</v>
      </c>
      <c r="I11" s="15">
        <v>42466</v>
      </c>
      <c r="J11" s="14">
        <v>4275.78</v>
      </c>
      <c r="K11" s="15">
        <v>42832</v>
      </c>
      <c r="L11" s="14">
        <v>5045.72</v>
      </c>
      <c r="M11" s="15">
        <v>43195</v>
      </c>
      <c r="N11" s="14">
        <v>7039.93</v>
      </c>
      <c r="O11" s="15">
        <v>43560</v>
      </c>
      <c r="Q11" s="24">
        <v>9</v>
      </c>
      <c r="R11" s="25">
        <v>1000</v>
      </c>
      <c r="S11" s="31">
        <v>1000</v>
      </c>
      <c r="T11" s="32">
        <v>5000</v>
      </c>
      <c r="U11" s="25"/>
      <c r="V11" s="31"/>
      <c r="W11" s="32"/>
    </row>
    <row r="12" spans="2:26" x14ac:dyDescent="0.25">
      <c r="B12" s="22"/>
      <c r="C12" s="36"/>
      <c r="D12" s="22">
        <v>577</v>
      </c>
      <c r="E12" s="23">
        <v>41730</v>
      </c>
      <c r="F12" s="22">
        <v>400</v>
      </c>
      <c r="G12" s="23">
        <v>42102</v>
      </c>
      <c r="H12" s="22">
        <v>1479</v>
      </c>
      <c r="I12" s="23">
        <v>42480</v>
      </c>
      <c r="J12" s="22">
        <v>2533</v>
      </c>
      <c r="K12" s="23">
        <v>42845</v>
      </c>
      <c r="L12" s="22">
        <v>2280</v>
      </c>
      <c r="M12" s="23">
        <v>43209</v>
      </c>
      <c r="N12" s="22">
        <v>3563</v>
      </c>
      <c r="O12" s="23">
        <v>43574</v>
      </c>
      <c r="Q12" s="24">
        <v>10</v>
      </c>
      <c r="R12" s="25">
        <v>1000</v>
      </c>
      <c r="S12" s="31">
        <v>1000</v>
      </c>
      <c r="T12" s="32"/>
      <c r="U12" s="25"/>
      <c r="V12" s="31"/>
      <c r="W12" s="32"/>
    </row>
    <row r="13" spans="2:26" x14ac:dyDescent="0.25">
      <c r="B13" s="22"/>
      <c r="C13" s="36"/>
      <c r="D13" s="22">
        <v>754.72</v>
      </c>
      <c r="E13" s="23">
        <v>41733</v>
      </c>
      <c r="F13" s="22">
        <v>934</v>
      </c>
      <c r="G13" s="23">
        <v>42111</v>
      </c>
      <c r="H13" s="22">
        <v>500</v>
      </c>
      <c r="I13" s="23">
        <v>42488</v>
      </c>
      <c r="J13" s="20"/>
      <c r="K13" s="23"/>
      <c r="L13" s="20"/>
      <c r="M13" s="23"/>
      <c r="N13" s="20"/>
      <c r="O13" s="23"/>
      <c r="Q13" s="24">
        <v>11</v>
      </c>
      <c r="R13" s="25">
        <v>1000</v>
      </c>
      <c r="S13" s="31">
        <v>1000</v>
      </c>
      <c r="T13" s="32">
        <v>3500</v>
      </c>
      <c r="U13" s="25"/>
      <c r="V13" s="31"/>
      <c r="W13" s="32"/>
    </row>
    <row r="14" spans="2:26" ht="15.75" thickBot="1" x14ac:dyDescent="0.3">
      <c r="B14" s="30"/>
      <c r="C14" s="34"/>
      <c r="D14" s="30">
        <v>376</v>
      </c>
      <c r="E14" s="29">
        <v>41747</v>
      </c>
      <c r="F14" s="28"/>
      <c r="G14" s="29"/>
      <c r="H14" s="28"/>
      <c r="I14" s="29"/>
      <c r="J14" s="28"/>
      <c r="K14" s="29"/>
      <c r="L14" s="28"/>
      <c r="M14" s="29"/>
      <c r="N14" s="28"/>
      <c r="O14" s="29"/>
      <c r="Q14" s="37">
        <v>12</v>
      </c>
      <c r="R14" s="38">
        <v>1000</v>
      </c>
      <c r="S14" s="39">
        <v>1000</v>
      </c>
      <c r="T14" s="40">
        <v>6000</v>
      </c>
      <c r="U14" s="38"/>
      <c r="V14" s="39"/>
      <c r="W14" s="40"/>
    </row>
    <row r="15" spans="2:26" ht="15.75" thickBot="1" x14ac:dyDescent="0.3">
      <c r="B15" s="14"/>
      <c r="C15" s="35"/>
      <c r="D15" s="14">
        <v>205.3</v>
      </c>
      <c r="E15" s="15">
        <v>41765</v>
      </c>
      <c r="F15" s="14">
        <v>1302.26</v>
      </c>
      <c r="G15" s="15">
        <v>42130</v>
      </c>
      <c r="H15" s="14">
        <v>2100.34</v>
      </c>
      <c r="I15" s="15">
        <v>42495</v>
      </c>
      <c r="J15" s="14">
        <v>3692.85</v>
      </c>
      <c r="K15" s="15">
        <v>42860</v>
      </c>
      <c r="L15" s="14">
        <v>5271.58</v>
      </c>
      <c r="M15" s="15">
        <v>43224</v>
      </c>
      <c r="N15" s="14">
        <v>6400.93</v>
      </c>
      <c r="O15" s="15">
        <v>43588</v>
      </c>
      <c r="Q15" s="41" t="s">
        <v>13</v>
      </c>
      <c r="R15" s="42">
        <f>SUM(R3:R14)+1000</f>
        <v>13000</v>
      </c>
      <c r="S15" s="43">
        <f>SUM(S3:S14)</f>
        <v>12000</v>
      </c>
      <c r="T15" s="43">
        <f>SUM(T3:T14)</f>
        <v>14500</v>
      </c>
      <c r="U15" s="42">
        <f>SUM(U3:U14)</f>
        <v>4000</v>
      </c>
      <c r="V15" s="43">
        <f>SUM(V3:V14)</f>
        <v>4000</v>
      </c>
      <c r="W15" s="43">
        <f>SUM(W3:W14)</f>
        <v>10250</v>
      </c>
      <c r="Y15" s="53"/>
      <c r="Z15" s="44"/>
    </row>
    <row r="16" spans="2:26" x14ac:dyDescent="0.25">
      <c r="B16" s="22"/>
      <c r="C16" s="36"/>
      <c r="D16" s="22">
        <v>369.01</v>
      </c>
      <c r="E16" s="23">
        <v>41766</v>
      </c>
      <c r="F16" s="22">
        <v>546</v>
      </c>
      <c r="G16" s="23">
        <v>42139</v>
      </c>
      <c r="H16" s="22">
        <v>784</v>
      </c>
      <c r="I16" s="23">
        <v>42510</v>
      </c>
      <c r="J16" s="22">
        <v>1907</v>
      </c>
      <c r="K16" s="23">
        <v>42874</v>
      </c>
      <c r="L16" s="22">
        <v>1966</v>
      </c>
      <c r="M16" s="23">
        <v>43241</v>
      </c>
      <c r="N16" s="22">
        <v>2419</v>
      </c>
      <c r="O16" s="23">
        <v>43606</v>
      </c>
      <c r="V16" s="44"/>
    </row>
    <row r="17" spans="2:27" ht="15.75" thickBot="1" x14ac:dyDescent="0.3">
      <c r="B17" s="30"/>
      <c r="C17" s="34"/>
      <c r="D17" s="30">
        <v>507</v>
      </c>
      <c r="E17" s="29">
        <v>41779</v>
      </c>
      <c r="F17" s="28"/>
      <c r="G17" s="29"/>
      <c r="H17" s="28"/>
      <c r="I17" s="29"/>
      <c r="J17" s="28"/>
      <c r="K17" s="29"/>
      <c r="L17" s="30">
        <v>302.33</v>
      </c>
      <c r="M17" s="29">
        <v>43223</v>
      </c>
      <c r="N17" s="30"/>
      <c r="O17" s="29"/>
    </row>
    <row r="18" spans="2:27" x14ac:dyDescent="0.25">
      <c r="B18" s="14"/>
      <c r="C18" s="35"/>
      <c r="D18" s="14">
        <v>1223.33</v>
      </c>
      <c r="E18" s="15">
        <v>41795</v>
      </c>
      <c r="F18" s="14">
        <v>1899.48</v>
      </c>
      <c r="G18" s="15">
        <v>42159</v>
      </c>
      <c r="H18" s="14">
        <v>2502.14</v>
      </c>
      <c r="I18" s="15">
        <v>42527</v>
      </c>
      <c r="J18" s="14">
        <v>4454.01</v>
      </c>
      <c r="K18" s="15">
        <v>42893</v>
      </c>
      <c r="L18" s="14">
        <v>5636.8</v>
      </c>
      <c r="M18" s="15">
        <v>43257</v>
      </c>
      <c r="N18" s="14"/>
      <c r="O18" s="15"/>
      <c r="V18" s="44"/>
    </row>
    <row r="19" spans="2:27" ht="15.75" thickBot="1" x14ac:dyDescent="0.3">
      <c r="B19" s="30"/>
      <c r="C19" s="34"/>
      <c r="D19" s="30">
        <v>936</v>
      </c>
      <c r="E19" s="29">
        <v>41809</v>
      </c>
      <c r="F19" s="30">
        <v>975</v>
      </c>
      <c r="G19" s="29">
        <v>42173</v>
      </c>
      <c r="H19" s="30">
        <v>1488</v>
      </c>
      <c r="I19" s="29">
        <v>42538</v>
      </c>
      <c r="J19" s="30">
        <v>2421</v>
      </c>
      <c r="K19" s="29">
        <v>42905</v>
      </c>
      <c r="L19" s="30">
        <v>3441</v>
      </c>
      <c r="M19" s="29">
        <v>43271</v>
      </c>
      <c r="N19" s="30"/>
      <c r="O19" s="29"/>
      <c r="U19" s="44"/>
      <c r="Z19" s="52"/>
      <c r="AA19" s="44"/>
    </row>
    <row r="20" spans="2:27" x14ac:dyDescent="0.25">
      <c r="B20" s="14"/>
      <c r="C20" s="35"/>
      <c r="D20" s="14">
        <v>1124.4100000000001</v>
      </c>
      <c r="E20" s="15">
        <v>41824</v>
      </c>
      <c r="F20" s="14">
        <v>1815.46</v>
      </c>
      <c r="G20" s="15">
        <v>42191</v>
      </c>
      <c r="H20" s="14">
        <v>2340.59</v>
      </c>
      <c r="I20" s="15">
        <v>42556</v>
      </c>
      <c r="J20" s="14">
        <v>3444</v>
      </c>
      <c r="K20" s="15">
        <v>42922</v>
      </c>
      <c r="L20" s="14">
        <v>5155.92</v>
      </c>
      <c r="M20" s="15">
        <v>43287</v>
      </c>
      <c r="N20" s="14"/>
      <c r="O20" s="15"/>
    </row>
    <row r="21" spans="2:27" x14ac:dyDescent="0.25">
      <c r="B21" s="22"/>
      <c r="C21" s="36"/>
      <c r="D21" s="22">
        <v>939</v>
      </c>
      <c r="E21" s="23">
        <v>41841</v>
      </c>
      <c r="F21" s="22">
        <v>954</v>
      </c>
      <c r="G21" s="23">
        <v>42202</v>
      </c>
      <c r="H21" s="22">
        <v>1412</v>
      </c>
      <c r="I21" s="23">
        <v>42571</v>
      </c>
      <c r="J21" s="22">
        <v>1000</v>
      </c>
      <c r="K21" s="23">
        <v>42934</v>
      </c>
      <c r="L21" s="22">
        <v>2851</v>
      </c>
      <c r="M21" s="23">
        <v>43300</v>
      </c>
      <c r="N21" s="22"/>
      <c r="O21" s="23"/>
      <c r="Z21" s="44"/>
    </row>
    <row r="22" spans="2:27" ht="15.75" thickBot="1" x14ac:dyDescent="0.3">
      <c r="B22" s="30"/>
      <c r="C22" s="34"/>
      <c r="D22" s="28"/>
      <c r="E22" s="29"/>
      <c r="F22" s="28"/>
      <c r="G22" s="29"/>
      <c r="H22" s="30">
        <v>1600</v>
      </c>
      <c r="I22" s="29">
        <v>42572</v>
      </c>
      <c r="J22" s="30">
        <v>2292</v>
      </c>
      <c r="K22" s="29">
        <v>42935</v>
      </c>
      <c r="L22" s="30">
        <v>8000</v>
      </c>
      <c r="M22" s="29">
        <v>43307</v>
      </c>
      <c r="N22" s="30"/>
      <c r="O22" s="29"/>
      <c r="Y22" s="54"/>
    </row>
    <row r="23" spans="2:27" x14ac:dyDescent="0.25">
      <c r="B23" s="14"/>
      <c r="C23" s="35"/>
      <c r="D23" s="14">
        <v>1268.18</v>
      </c>
      <c r="E23" s="15">
        <v>41857</v>
      </c>
      <c r="F23" s="14">
        <v>330</v>
      </c>
      <c r="G23" s="15">
        <v>42219</v>
      </c>
      <c r="H23" s="14">
        <v>830</v>
      </c>
      <c r="I23" s="15">
        <v>42583</v>
      </c>
      <c r="J23" s="14">
        <v>1630</v>
      </c>
      <c r="K23" s="15">
        <v>42948</v>
      </c>
      <c r="L23" s="14">
        <v>6345.49</v>
      </c>
      <c r="M23" s="15">
        <v>43318</v>
      </c>
      <c r="N23" s="14"/>
      <c r="O23" s="15"/>
      <c r="V23" s="45"/>
    </row>
    <row r="24" spans="2:27" x14ac:dyDescent="0.25">
      <c r="B24" s="22"/>
      <c r="C24" s="36"/>
      <c r="D24" s="22">
        <v>1079</v>
      </c>
      <c r="E24" s="23">
        <v>41871</v>
      </c>
      <c r="F24" s="22">
        <v>1808.73</v>
      </c>
      <c r="G24" s="23">
        <v>42222</v>
      </c>
      <c r="H24" s="22">
        <v>3500</v>
      </c>
      <c r="I24" s="23">
        <v>42583</v>
      </c>
      <c r="J24" s="22">
        <v>8292.06</v>
      </c>
      <c r="K24" s="23">
        <v>42951</v>
      </c>
      <c r="L24" s="22">
        <v>1820</v>
      </c>
      <c r="M24" s="23">
        <v>43322</v>
      </c>
      <c r="N24" s="22"/>
      <c r="O24" s="23"/>
      <c r="V24" s="45"/>
      <c r="Y24" s="44"/>
    </row>
    <row r="25" spans="2:27" x14ac:dyDescent="0.25">
      <c r="B25" s="22"/>
      <c r="C25" s="36"/>
      <c r="D25" s="20"/>
      <c r="E25" s="23"/>
      <c r="F25" s="22">
        <v>200</v>
      </c>
      <c r="G25" s="23">
        <v>42234</v>
      </c>
      <c r="H25" s="22">
        <v>3315.5</v>
      </c>
      <c r="I25" s="23">
        <v>42586</v>
      </c>
      <c r="J25" s="22">
        <v>1540</v>
      </c>
      <c r="K25" s="23">
        <v>42965</v>
      </c>
      <c r="L25" s="22">
        <v>860</v>
      </c>
      <c r="M25" s="23">
        <v>43332</v>
      </c>
      <c r="N25" s="22"/>
      <c r="O25" s="23"/>
    </row>
    <row r="26" spans="2:27" x14ac:dyDescent="0.25">
      <c r="B26" s="22"/>
      <c r="C26" s="36"/>
      <c r="D26" s="20"/>
      <c r="E26" s="23"/>
      <c r="F26" s="22">
        <v>1219</v>
      </c>
      <c r="G26" s="23">
        <v>42235</v>
      </c>
      <c r="H26" s="22">
        <v>1775</v>
      </c>
      <c r="I26" s="23">
        <v>42601</v>
      </c>
      <c r="J26" s="20"/>
      <c r="K26" s="23"/>
      <c r="L26" s="22">
        <v>740</v>
      </c>
      <c r="M26" s="23">
        <v>43340</v>
      </c>
      <c r="N26" s="22"/>
      <c r="O26" s="23"/>
    </row>
    <row r="27" spans="2:27" ht="15.75" thickBot="1" x14ac:dyDescent="0.3">
      <c r="B27" s="30"/>
      <c r="C27" s="34"/>
      <c r="D27" s="28"/>
      <c r="E27" s="29"/>
      <c r="F27" s="28"/>
      <c r="G27" s="29"/>
      <c r="H27" s="30">
        <v>500</v>
      </c>
      <c r="I27" s="29">
        <v>42604</v>
      </c>
      <c r="J27" s="28"/>
      <c r="K27" s="29"/>
      <c r="L27" s="28"/>
      <c r="M27" s="29"/>
      <c r="N27" s="28"/>
      <c r="O27" s="29"/>
    </row>
    <row r="28" spans="2:27" x14ac:dyDescent="0.25">
      <c r="B28" s="14"/>
      <c r="C28" s="35"/>
      <c r="D28" s="14">
        <v>1233.3</v>
      </c>
      <c r="E28" s="15">
        <v>41887</v>
      </c>
      <c r="F28" s="14">
        <v>330</v>
      </c>
      <c r="G28" s="15">
        <v>42248</v>
      </c>
      <c r="H28" s="14">
        <v>1455.1</v>
      </c>
      <c r="I28" s="15">
        <v>42619</v>
      </c>
      <c r="J28" s="14">
        <v>4413.22</v>
      </c>
      <c r="K28" s="15">
        <v>42984</v>
      </c>
      <c r="L28" s="14">
        <v>2453.56</v>
      </c>
      <c r="M28" s="15">
        <v>43350</v>
      </c>
      <c r="N28" s="14"/>
      <c r="O28" s="15"/>
    </row>
    <row r="29" spans="2:27" x14ac:dyDescent="0.25">
      <c r="B29" s="22"/>
      <c r="C29" s="36"/>
      <c r="D29" s="22">
        <v>981</v>
      </c>
      <c r="E29" s="23">
        <v>41901</v>
      </c>
      <c r="F29" s="22">
        <v>2203.1</v>
      </c>
      <c r="G29" s="23">
        <v>42251</v>
      </c>
      <c r="H29" s="20"/>
      <c r="I29" s="23"/>
      <c r="J29" s="22">
        <v>2521</v>
      </c>
      <c r="K29" s="23">
        <v>42997</v>
      </c>
      <c r="L29" s="22">
        <v>2267</v>
      </c>
      <c r="M29" s="23">
        <v>43363</v>
      </c>
      <c r="N29" s="22"/>
      <c r="O29" s="23"/>
    </row>
    <row r="30" spans="2:27" ht="15.75" thickBot="1" x14ac:dyDescent="0.3">
      <c r="B30" s="28"/>
      <c r="C30" s="1"/>
      <c r="D30" s="28"/>
      <c r="E30" s="29"/>
      <c r="F30" s="30">
        <v>1219</v>
      </c>
      <c r="G30" s="29">
        <v>42265</v>
      </c>
      <c r="H30" s="28"/>
      <c r="I30" s="29"/>
      <c r="J30" s="28"/>
      <c r="K30" s="29"/>
      <c r="L30" s="30">
        <v>740</v>
      </c>
      <c r="M30" s="29">
        <v>43371</v>
      </c>
      <c r="N30" s="30"/>
      <c r="O30" s="29"/>
    </row>
    <row r="31" spans="2:27" x14ac:dyDescent="0.25">
      <c r="B31" s="14">
        <v>720</v>
      </c>
      <c r="C31" s="15">
        <v>41565</v>
      </c>
      <c r="D31" s="14">
        <v>1234.23</v>
      </c>
      <c r="E31" s="15">
        <v>41919</v>
      </c>
      <c r="F31" s="14">
        <v>2100</v>
      </c>
      <c r="G31" s="15">
        <v>42278</v>
      </c>
      <c r="H31" s="14">
        <v>3641.29</v>
      </c>
      <c r="I31" s="15">
        <v>42649</v>
      </c>
      <c r="J31" s="14">
        <v>4127.63</v>
      </c>
      <c r="K31" s="15">
        <v>43014</v>
      </c>
      <c r="L31" s="14">
        <v>4022.71</v>
      </c>
      <c r="M31" s="15">
        <v>43378</v>
      </c>
      <c r="N31" s="14"/>
      <c r="O31" s="15"/>
    </row>
    <row r="32" spans="2:27" x14ac:dyDescent="0.25">
      <c r="B32" s="22">
        <v>350</v>
      </c>
      <c r="C32" s="23">
        <v>41569</v>
      </c>
      <c r="D32" s="22">
        <v>939</v>
      </c>
      <c r="E32" s="23">
        <v>41932</v>
      </c>
      <c r="F32" s="22">
        <v>710</v>
      </c>
      <c r="G32" s="23">
        <v>42278</v>
      </c>
      <c r="H32" s="22">
        <v>1576</v>
      </c>
      <c r="I32" s="23">
        <v>42662</v>
      </c>
      <c r="J32" s="22">
        <v>4277</v>
      </c>
      <c r="K32" s="23">
        <v>43028</v>
      </c>
      <c r="L32" s="22">
        <v>2945</v>
      </c>
      <c r="M32" s="23">
        <v>43392</v>
      </c>
      <c r="N32" s="22"/>
      <c r="O32" s="23"/>
    </row>
    <row r="33" spans="2:15" x14ac:dyDescent="0.25">
      <c r="B33" s="20"/>
      <c r="C33" s="21"/>
      <c r="D33" s="22">
        <v>400</v>
      </c>
      <c r="E33" s="23">
        <v>41940</v>
      </c>
      <c r="F33" s="22">
        <v>310</v>
      </c>
      <c r="G33" s="23">
        <v>42278</v>
      </c>
      <c r="H33" s="20"/>
      <c r="I33" s="23"/>
      <c r="J33" s="20"/>
      <c r="K33" s="23"/>
      <c r="L33" s="22">
        <v>720</v>
      </c>
      <c r="M33" s="23">
        <v>43401</v>
      </c>
      <c r="N33" s="22"/>
      <c r="O33" s="23"/>
    </row>
    <row r="34" spans="2:15" x14ac:dyDescent="0.25">
      <c r="B34" s="20"/>
      <c r="C34" s="21"/>
      <c r="D34" s="20"/>
      <c r="E34" s="23"/>
      <c r="F34" s="22">
        <v>2646.94</v>
      </c>
      <c r="G34" s="23">
        <v>42283</v>
      </c>
      <c r="H34" s="20"/>
      <c r="I34" s="23"/>
      <c r="J34" s="20"/>
      <c r="K34" s="23"/>
      <c r="L34" s="20"/>
      <c r="M34" s="23"/>
      <c r="N34" s="20"/>
      <c r="O34" s="23"/>
    </row>
    <row r="35" spans="2:15" ht="15.75" thickBot="1" x14ac:dyDescent="0.3">
      <c r="B35" s="28"/>
      <c r="C35" s="1"/>
      <c r="D35" s="28"/>
      <c r="E35" s="29"/>
      <c r="F35" s="30">
        <v>1153</v>
      </c>
      <c r="G35" s="29">
        <v>42296</v>
      </c>
      <c r="H35" s="28"/>
      <c r="I35" s="29"/>
      <c r="J35" s="28"/>
      <c r="K35" s="29"/>
      <c r="L35" s="28"/>
      <c r="M35" s="29"/>
      <c r="N35" s="28"/>
      <c r="O35" s="29"/>
    </row>
    <row r="36" spans="2:15" x14ac:dyDescent="0.25">
      <c r="B36" s="14">
        <v>656.91</v>
      </c>
      <c r="C36" s="15">
        <v>41582</v>
      </c>
      <c r="D36" s="14">
        <v>1288.43</v>
      </c>
      <c r="E36" s="15">
        <v>41949</v>
      </c>
      <c r="F36" s="14">
        <v>400</v>
      </c>
      <c r="G36" s="15">
        <v>42311</v>
      </c>
      <c r="H36" s="14">
        <v>500</v>
      </c>
      <c r="I36" s="15">
        <v>42676</v>
      </c>
      <c r="J36" s="14">
        <v>4302.91</v>
      </c>
      <c r="K36" s="15">
        <v>43042</v>
      </c>
      <c r="L36" s="14">
        <v>6460.84</v>
      </c>
      <c r="M36" s="15">
        <v>43409</v>
      </c>
      <c r="N36" s="14"/>
      <c r="O36" s="15"/>
    </row>
    <row r="37" spans="2:15" x14ac:dyDescent="0.25">
      <c r="B37" s="22">
        <v>978</v>
      </c>
      <c r="C37" s="23">
        <v>41598</v>
      </c>
      <c r="D37" s="22">
        <v>981</v>
      </c>
      <c r="E37" s="23">
        <v>41963</v>
      </c>
      <c r="F37" s="22">
        <v>901.67</v>
      </c>
      <c r="G37" s="23">
        <v>42313</v>
      </c>
      <c r="H37" s="22">
        <v>2453.1799999999998</v>
      </c>
      <c r="I37" s="23">
        <v>42678</v>
      </c>
      <c r="J37" s="22">
        <v>5400</v>
      </c>
      <c r="K37" s="23">
        <v>43048</v>
      </c>
      <c r="L37" s="22">
        <v>3239</v>
      </c>
      <c r="M37" s="23">
        <v>43423</v>
      </c>
      <c r="N37" s="22"/>
      <c r="O37" s="23"/>
    </row>
    <row r="38" spans="2:15" x14ac:dyDescent="0.25">
      <c r="B38" s="20"/>
      <c r="C38" s="21"/>
      <c r="D38" s="20"/>
      <c r="E38" s="23"/>
      <c r="F38" s="22">
        <v>672</v>
      </c>
      <c r="G38" s="23">
        <v>42327</v>
      </c>
      <c r="H38" s="22">
        <v>1765</v>
      </c>
      <c r="I38" s="23">
        <v>42692</v>
      </c>
      <c r="J38" s="22">
        <v>1400</v>
      </c>
      <c r="K38" s="23">
        <v>43048</v>
      </c>
      <c r="L38" s="22"/>
      <c r="M38" s="23"/>
      <c r="N38" s="22"/>
      <c r="O38" s="23"/>
    </row>
    <row r="39" spans="2:15" ht="15.75" thickBot="1" x14ac:dyDescent="0.3">
      <c r="B39" s="28"/>
      <c r="C39" s="1"/>
      <c r="D39" s="28"/>
      <c r="E39" s="29"/>
      <c r="F39" s="28"/>
      <c r="G39" s="29"/>
      <c r="H39" s="30">
        <v>1600</v>
      </c>
      <c r="I39" s="29">
        <v>42696</v>
      </c>
      <c r="J39" s="30">
        <v>1750</v>
      </c>
      <c r="K39" s="29">
        <v>43056</v>
      </c>
      <c r="L39" s="30"/>
      <c r="M39" s="29"/>
      <c r="N39" s="30"/>
      <c r="O39" s="29"/>
    </row>
    <row r="40" spans="2:15" x14ac:dyDescent="0.25">
      <c r="B40" s="14">
        <v>1069.45</v>
      </c>
      <c r="C40" s="15">
        <v>41613</v>
      </c>
      <c r="D40" s="14">
        <v>69.02</v>
      </c>
      <c r="E40" s="15">
        <v>41977</v>
      </c>
      <c r="F40" s="14">
        <v>1878.94</v>
      </c>
      <c r="G40" s="15">
        <v>42342</v>
      </c>
      <c r="H40" s="14">
        <v>2511.96</v>
      </c>
      <c r="I40" s="15">
        <v>42710</v>
      </c>
      <c r="J40" s="12">
        <v>1920.35</v>
      </c>
      <c r="K40" s="23">
        <v>43075</v>
      </c>
      <c r="L40" s="12">
        <v>199.96</v>
      </c>
      <c r="M40" s="23">
        <v>43438</v>
      </c>
      <c r="N40" s="12"/>
      <c r="O40" s="23"/>
    </row>
    <row r="41" spans="2:15" x14ac:dyDescent="0.25">
      <c r="B41" s="22">
        <v>939</v>
      </c>
      <c r="C41" s="23">
        <v>41627</v>
      </c>
      <c r="D41" s="22">
        <v>1387.82</v>
      </c>
      <c r="E41" s="23">
        <v>41978</v>
      </c>
      <c r="F41" s="22">
        <v>1357</v>
      </c>
      <c r="G41" s="23">
        <v>42356</v>
      </c>
      <c r="H41" s="22">
        <v>1765</v>
      </c>
      <c r="I41" s="23">
        <v>42723</v>
      </c>
      <c r="J41" s="22">
        <v>1444</v>
      </c>
      <c r="K41" s="23">
        <v>43087</v>
      </c>
      <c r="L41" s="22">
        <v>6288.32</v>
      </c>
      <c r="M41" s="23">
        <v>43439</v>
      </c>
      <c r="N41" s="22"/>
      <c r="O41" s="23"/>
    </row>
    <row r="42" spans="2:15" x14ac:dyDescent="0.25">
      <c r="B42" s="20"/>
      <c r="C42" s="21"/>
      <c r="D42" s="22">
        <v>500</v>
      </c>
      <c r="E42" s="23">
        <v>41991</v>
      </c>
      <c r="F42" s="20"/>
      <c r="G42" s="23"/>
      <c r="H42" s="22">
        <v>500</v>
      </c>
      <c r="I42" s="23">
        <v>42732</v>
      </c>
      <c r="J42" s="20"/>
      <c r="K42" s="23"/>
      <c r="L42" s="22">
        <v>3280</v>
      </c>
      <c r="M42" s="23">
        <v>43453</v>
      </c>
      <c r="N42" s="22"/>
      <c r="O42" s="23"/>
    </row>
    <row r="43" spans="2:15" ht="15.75" thickBot="1" x14ac:dyDescent="0.3">
      <c r="B43" s="28"/>
      <c r="C43" s="1"/>
      <c r="D43" s="30">
        <v>858</v>
      </c>
      <c r="E43" s="29">
        <v>41992</v>
      </c>
      <c r="F43" s="28"/>
      <c r="G43" s="29"/>
      <c r="H43" s="28"/>
      <c r="I43" s="29"/>
      <c r="J43" s="28"/>
      <c r="K43" s="29"/>
      <c r="L43" s="28"/>
      <c r="M43" s="29"/>
      <c r="N43" s="28"/>
      <c r="O43" s="29"/>
    </row>
    <row r="44" spans="2:15" ht="15.75" thickBot="1" x14ac:dyDescent="0.3">
      <c r="B44" s="46">
        <f>SUM(B9:B43)</f>
        <v>4713.3599999999997</v>
      </c>
      <c r="C44" s="43"/>
      <c r="D44" s="46">
        <f>SUM(D3:D43)</f>
        <v>26982.16</v>
      </c>
      <c r="E44" s="47"/>
      <c r="F44" s="46">
        <f>SUM(F3:F43)</f>
        <v>38323.839999999997</v>
      </c>
      <c r="G44" s="47"/>
      <c r="H44" s="46">
        <f>SUM(H3:H43)</f>
        <v>56650.47</v>
      </c>
      <c r="I44" s="47"/>
      <c r="J44" s="46">
        <f>SUM(J3:J43)</f>
        <v>86585.150000000009</v>
      </c>
      <c r="K44" s="43"/>
      <c r="L44" s="46">
        <f>SUM(L3:L43)</f>
        <v>102621.95000000001</v>
      </c>
      <c r="M44" s="43"/>
      <c r="N44" s="46">
        <f>SUM(N3:N43)</f>
        <v>46349.61</v>
      </c>
      <c r="O44" s="43"/>
    </row>
    <row r="45" spans="2:15" x14ac:dyDescent="0.25">
      <c r="N45" s="48">
        <f>N44+U15+V15+W15</f>
        <v>64599.61</v>
      </c>
    </row>
  </sheetData>
  <dataConsolidate/>
  <mergeCells count="9">
    <mergeCell ref="R1:T1"/>
    <mergeCell ref="U1:W1"/>
    <mergeCell ref="L1:M1"/>
    <mergeCell ref="J1:K1"/>
    <mergeCell ref="B1:C1"/>
    <mergeCell ref="D1:E1"/>
    <mergeCell ref="F1:G1"/>
    <mergeCell ref="H1:I1"/>
    <mergeCell ref="N1:O1"/>
  </mergeCells>
  <conditionalFormatting sqref="B42:K43 B39:J39 D40:J40 B40:B41 D41:K41 B2:K38">
    <cfRule type="colorScale" priority="104">
      <colorScale>
        <cfvo type="min"/>
        <cfvo type="max"/>
        <color rgb="FFFFEF9C"/>
        <color rgb="FF63BE7B"/>
      </colorScale>
    </cfRule>
  </conditionalFormatting>
  <conditionalFormatting sqref="K40">
    <cfRule type="colorScale" priority="103">
      <colorScale>
        <cfvo type="min"/>
        <cfvo type="max"/>
        <color rgb="FFFFEF9C"/>
        <color rgb="FF63BE7B"/>
      </colorScale>
    </cfRule>
  </conditionalFormatting>
  <conditionalFormatting sqref="K39">
    <cfRule type="colorScale" priority="100">
      <colorScale>
        <cfvo type="min"/>
        <cfvo type="max"/>
        <color rgb="FFFFEF9C"/>
        <color rgb="FF63BE7B"/>
      </colorScale>
    </cfRule>
  </conditionalFormatting>
  <conditionalFormatting sqref="C40">
    <cfRule type="colorScale" priority="99">
      <colorScale>
        <cfvo type="min"/>
        <cfvo type="max"/>
        <color rgb="FFFFEF9C"/>
        <color rgb="FF63BE7B"/>
      </colorScale>
    </cfRule>
  </conditionalFormatting>
  <conditionalFormatting sqref="C41">
    <cfRule type="colorScale" priority="98">
      <colorScale>
        <cfvo type="min"/>
        <cfvo type="max"/>
        <color rgb="FFFFEF9C"/>
        <color rgb="FF63BE7B"/>
      </colorScale>
    </cfRule>
  </conditionalFormatting>
  <conditionalFormatting sqref="L43:M43 L39 L2:M2 L5:M5 L8:M8 L13:M14 L27:M27 L34:M35 L38:M38">
    <cfRule type="colorScale" priority="95">
      <colorScale>
        <cfvo type="min"/>
        <cfvo type="max"/>
        <color rgb="FFFFEF9C"/>
        <color rgb="FF63BE7B"/>
      </colorScale>
    </cfRule>
  </conditionalFormatting>
  <conditionalFormatting sqref="M39">
    <cfRule type="colorScale" priority="93">
      <colorScale>
        <cfvo type="min"/>
        <cfvo type="max"/>
        <color rgb="FFFFEF9C"/>
        <color rgb="FF63BE7B"/>
      </colorScale>
    </cfRule>
  </conditionalFormatting>
  <conditionalFormatting sqref="L3:M3">
    <cfRule type="colorScale" priority="92">
      <colorScale>
        <cfvo type="min"/>
        <cfvo type="max"/>
        <color rgb="FFFFEF9C"/>
        <color rgb="FF63BE7B"/>
      </colorScale>
    </cfRule>
  </conditionalFormatting>
  <conditionalFormatting sqref="L4:M4">
    <cfRule type="colorScale" priority="91">
      <colorScale>
        <cfvo type="min"/>
        <cfvo type="max"/>
        <color rgb="FFFFEF9C"/>
        <color rgb="FF63BE7B"/>
      </colorScale>
    </cfRule>
  </conditionalFormatting>
  <conditionalFormatting sqref="L6:M6">
    <cfRule type="colorScale" priority="90">
      <colorScale>
        <cfvo type="min"/>
        <cfvo type="max"/>
        <color rgb="FFFFEF9C"/>
        <color rgb="FF63BE7B"/>
      </colorScale>
    </cfRule>
  </conditionalFormatting>
  <conditionalFormatting sqref="L7:M7">
    <cfRule type="colorScale" priority="87">
      <colorScale>
        <cfvo type="min"/>
        <cfvo type="max"/>
        <color rgb="FFFFEF9C"/>
        <color rgb="FF63BE7B"/>
      </colorScale>
    </cfRule>
  </conditionalFormatting>
  <conditionalFormatting sqref="L9:M9">
    <cfRule type="colorScale" priority="86">
      <colorScale>
        <cfvo type="min"/>
        <cfvo type="max"/>
        <color rgb="FFFFEF9C"/>
        <color rgb="FF63BE7B"/>
      </colorScale>
    </cfRule>
  </conditionalFormatting>
  <conditionalFormatting sqref="L10:M10">
    <cfRule type="colorScale" priority="85">
      <colorScale>
        <cfvo type="min"/>
        <cfvo type="max"/>
        <color rgb="FFFFEF9C"/>
        <color rgb="FF63BE7B"/>
      </colorScale>
    </cfRule>
  </conditionalFormatting>
  <conditionalFormatting sqref="L11:M11">
    <cfRule type="colorScale" priority="84">
      <colorScale>
        <cfvo type="min"/>
        <cfvo type="max"/>
        <color rgb="FFFFEF9C"/>
        <color rgb="FF63BE7B"/>
      </colorScale>
    </cfRule>
  </conditionalFormatting>
  <conditionalFormatting sqref="L12:M12">
    <cfRule type="colorScale" priority="83">
      <colorScale>
        <cfvo type="min"/>
        <cfvo type="max"/>
        <color rgb="FFFFEF9C"/>
        <color rgb="FF63BE7B"/>
      </colorScale>
    </cfRule>
  </conditionalFormatting>
  <conditionalFormatting sqref="L15:M15">
    <cfRule type="colorScale" priority="82">
      <colorScale>
        <cfvo type="min"/>
        <cfvo type="max"/>
        <color rgb="FFFFEF9C"/>
        <color rgb="FF63BE7B"/>
      </colorScale>
    </cfRule>
  </conditionalFormatting>
  <conditionalFormatting sqref="L16:M16">
    <cfRule type="colorScale" priority="81">
      <colorScale>
        <cfvo type="min"/>
        <cfvo type="max"/>
        <color rgb="FFFFEF9C"/>
        <color rgb="FF63BE7B"/>
      </colorScale>
    </cfRule>
  </conditionalFormatting>
  <conditionalFormatting sqref="L17:M17">
    <cfRule type="colorScale" priority="80">
      <colorScale>
        <cfvo type="min"/>
        <cfvo type="max"/>
        <color rgb="FFFFEF9C"/>
        <color rgb="FF63BE7B"/>
      </colorScale>
    </cfRule>
  </conditionalFormatting>
  <conditionalFormatting sqref="L18:M18">
    <cfRule type="colorScale" priority="79">
      <colorScale>
        <cfvo type="min"/>
        <cfvo type="max"/>
        <color rgb="FFFFEF9C"/>
        <color rgb="FF63BE7B"/>
      </colorScale>
    </cfRule>
  </conditionalFormatting>
  <conditionalFormatting sqref="L19:M19">
    <cfRule type="colorScale" priority="78">
      <colorScale>
        <cfvo type="min"/>
        <cfvo type="max"/>
        <color rgb="FFFFEF9C"/>
        <color rgb="FF63BE7B"/>
      </colorScale>
    </cfRule>
  </conditionalFormatting>
  <conditionalFormatting sqref="L20:M20">
    <cfRule type="colorScale" priority="74">
      <colorScale>
        <cfvo type="min"/>
        <cfvo type="max"/>
        <color rgb="FFFFEF9C"/>
        <color rgb="FF63BE7B"/>
      </colorScale>
    </cfRule>
  </conditionalFormatting>
  <conditionalFormatting sqref="L21:M21">
    <cfRule type="colorScale" priority="73">
      <colorScale>
        <cfvo type="min"/>
        <cfvo type="max"/>
        <color rgb="FFFFEF9C"/>
        <color rgb="FF63BE7B"/>
      </colorScale>
    </cfRule>
  </conditionalFormatting>
  <conditionalFormatting sqref="L22:M22">
    <cfRule type="colorScale" priority="72">
      <colorScale>
        <cfvo type="min"/>
        <cfvo type="max"/>
        <color rgb="FFFFEF9C"/>
        <color rgb="FF63BE7B"/>
      </colorScale>
    </cfRule>
  </conditionalFormatting>
  <conditionalFormatting sqref="L23:M23">
    <cfRule type="colorScale" priority="71">
      <colorScale>
        <cfvo type="min"/>
        <cfvo type="max"/>
        <color rgb="FFFFEF9C"/>
        <color rgb="FF63BE7B"/>
      </colorScale>
    </cfRule>
  </conditionalFormatting>
  <conditionalFormatting sqref="L24:M24">
    <cfRule type="colorScale" priority="67">
      <colorScale>
        <cfvo type="min"/>
        <cfvo type="max"/>
        <color rgb="FFFFEF9C"/>
        <color rgb="FF63BE7B"/>
      </colorScale>
    </cfRule>
  </conditionalFormatting>
  <conditionalFormatting sqref="L25:M26">
    <cfRule type="colorScale" priority="66">
      <colorScale>
        <cfvo type="min"/>
        <cfvo type="max"/>
        <color rgb="FFFFEF9C"/>
        <color rgb="FF63BE7B"/>
      </colorScale>
    </cfRule>
  </conditionalFormatting>
  <conditionalFormatting sqref="L28:M28">
    <cfRule type="colorScale" priority="65">
      <colorScale>
        <cfvo type="min"/>
        <cfvo type="max"/>
        <color rgb="FFFFEF9C"/>
        <color rgb="FF63BE7B"/>
      </colorScale>
    </cfRule>
  </conditionalFormatting>
  <conditionalFormatting sqref="L29:M30">
    <cfRule type="colorScale" priority="64">
      <colorScale>
        <cfvo type="min"/>
        <cfvo type="max"/>
        <color rgb="FFFFEF9C"/>
        <color rgb="FF63BE7B"/>
      </colorScale>
    </cfRule>
  </conditionalFormatting>
  <conditionalFormatting sqref="L31:M31">
    <cfRule type="colorScale" priority="63">
      <colorScale>
        <cfvo type="min"/>
        <cfvo type="max"/>
        <color rgb="FFFFEF9C"/>
        <color rgb="FF63BE7B"/>
      </colorScale>
    </cfRule>
  </conditionalFormatting>
  <conditionalFormatting sqref="L32:M32">
    <cfRule type="colorScale" priority="60">
      <colorScale>
        <cfvo type="min"/>
        <cfvo type="max"/>
        <color rgb="FFFFEF9C"/>
        <color rgb="FF63BE7B"/>
      </colorScale>
    </cfRule>
  </conditionalFormatting>
  <conditionalFormatting sqref="L33:M33">
    <cfRule type="colorScale" priority="59">
      <colorScale>
        <cfvo type="min"/>
        <cfvo type="max"/>
        <color rgb="FFFFEF9C"/>
        <color rgb="FF63BE7B"/>
      </colorScale>
    </cfRule>
  </conditionalFormatting>
  <conditionalFormatting sqref="L36:M36">
    <cfRule type="colorScale" priority="58">
      <colorScale>
        <cfvo type="min"/>
        <cfvo type="max"/>
        <color rgb="FFFFEF9C"/>
        <color rgb="FF63BE7B"/>
      </colorScale>
    </cfRule>
  </conditionalFormatting>
  <conditionalFormatting sqref="L37:M37">
    <cfRule type="colorScale" priority="57">
      <colorScale>
        <cfvo type="min"/>
        <cfvo type="max"/>
        <color rgb="FFFFEF9C"/>
        <color rgb="FF63BE7B"/>
      </colorScale>
    </cfRule>
  </conditionalFormatting>
  <conditionalFormatting sqref="L41:M41 L40">
    <cfRule type="colorScale" priority="56">
      <colorScale>
        <cfvo type="min"/>
        <cfvo type="max"/>
        <color rgb="FFFFEF9C"/>
        <color rgb="FF63BE7B"/>
      </colorScale>
    </cfRule>
  </conditionalFormatting>
  <conditionalFormatting sqref="M40">
    <cfRule type="colorScale" priority="55">
      <colorScale>
        <cfvo type="min"/>
        <cfvo type="max"/>
        <color rgb="FFFFEF9C"/>
        <color rgb="FF63BE7B"/>
      </colorScale>
    </cfRule>
  </conditionalFormatting>
  <conditionalFormatting sqref="L42:M42">
    <cfRule type="colorScale" priority="54">
      <colorScale>
        <cfvo type="min"/>
        <cfvo type="max"/>
        <color rgb="FFFFEF9C"/>
        <color rgb="FF63BE7B"/>
      </colorScale>
    </cfRule>
  </conditionalFormatting>
  <conditionalFormatting sqref="O39">
    <cfRule type="colorScale" priority="52">
      <colorScale>
        <cfvo type="min"/>
        <cfvo type="max"/>
        <color rgb="FFFFEF9C"/>
        <color rgb="FF63BE7B"/>
      </colorScale>
    </cfRule>
  </conditionalFormatting>
  <conditionalFormatting sqref="N17:O17">
    <cfRule type="colorScale" priority="41">
      <colorScale>
        <cfvo type="min"/>
        <cfvo type="max"/>
        <color rgb="FFFFEF9C"/>
        <color rgb="FF63BE7B"/>
      </colorScale>
    </cfRule>
  </conditionalFormatting>
  <conditionalFormatting sqref="N18:O18">
    <cfRule type="colorScale" priority="40">
      <colorScale>
        <cfvo type="min"/>
        <cfvo type="max"/>
        <color rgb="FFFFEF9C"/>
        <color rgb="FF63BE7B"/>
      </colorScale>
    </cfRule>
  </conditionalFormatting>
  <conditionalFormatting sqref="N19:O19">
    <cfRule type="colorScale" priority="39">
      <colorScale>
        <cfvo type="min"/>
        <cfvo type="max"/>
        <color rgb="FFFFEF9C"/>
        <color rgb="FF63BE7B"/>
      </colorScale>
    </cfRule>
  </conditionalFormatting>
  <conditionalFormatting sqref="N20:O20">
    <cfRule type="colorScale" priority="38">
      <colorScale>
        <cfvo type="min"/>
        <cfvo type="max"/>
        <color rgb="FFFFEF9C"/>
        <color rgb="FF63BE7B"/>
      </colorScale>
    </cfRule>
  </conditionalFormatting>
  <conditionalFormatting sqref="N21:O21">
    <cfRule type="colorScale" priority="37">
      <colorScale>
        <cfvo type="min"/>
        <cfvo type="max"/>
        <color rgb="FFFFEF9C"/>
        <color rgb="FF63BE7B"/>
      </colorScale>
    </cfRule>
  </conditionalFormatting>
  <conditionalFormatting sqref="N22:O22">
    <cfRule type="colorScale" priority="36">
      <colorScale>
        <cfvo type="min"/>
        <cfvo type="max"/>
        <color rgb="FFFFEF9C"/>
        <color rgb="FF63BE7B"/>
      </colorScale>
    </cfRule>
  </conditionalFormatting>
  <conditionalFormatting sqref="N23:O23">
    <cfRule type="colorScale" priority="35">
      <colorScale>
        <cfvo type="min"/>
        <cfvo type="max"/>
        <color rgb="FFFFEF9C"/>
        <color rgb="FF63BE7B"/>
      </colorScale>
    </cfRule>
  </conditionalFormatting>
  <conditionalFormatting sqref="N24:O24">
    <cfRule type="colorScale" priority="34">
      <colorScale>
        <cfvo type="min"/>
        <cfvo type="max"/>
        <color rgb="FFFFEF9C"/>
        <color rgb="FF63BE7B"/>
      </colorScale>
    </cfRule>
  </conditionalFormatting>
  <conditionalFormatting sqref="N25:O26">
    <cfRule type="colorScale" priority="33">
      <colorScale>
        <cfvo type="min"/>
        <cfvo type="max"/>
        <color rgb="FFFFEF9C"/>
        <color rgb="FF63BE7B"/>
      </colorScale>
    </cfRule>
  </conditionalFormatting>
  <conditionalFormatting sqref="N28:O28">
    <cfRule type="colorScale" priority="32">
      <colorScale>
        <cfvo type="min"/>
        <cfvo type="max"/>
        <color rgb="FFFFEF9C"/>
        <color rgb="FF63BE7B"/>
      </colorScale>
    </cfRule>
  </conditionalFormatting>
  <conditionalFormatting sqref="N29:O30">
    <cfRule type="colorScale" priority="31">
      <colorScale>
        <cfvo type="min"/>
        <cfvo type="max"/>
        <color rgb="FFFFEF9C"/>
        <color rgb="FF63BE7B"/>
      </colorScale>
    </cfRule>
  </conditionalFormatting>
  <conditionalFormatting sqref="N31:O31">
    <cfRule type="colorScale" priority="30">
      <colorScale>
        <cfvo type="min"/>
        <cfvo type="max"/>
        <color rgb="FFFFEF9C"/>
        <color rgb="FF63BE7B"/>
      </colorScale>
    </cfRule>
  </conditionalFormatting>
  <conditionalFormatting sqref="N32:O32">
    <cfRule type="colorScale" priority="29">
      <colorScale>
        <cfvo type="min"/>
        <cfvo type="max"/>
        <color rgb="FFFFEF9C"/>
        <color rgb="FF63BE7B"/>
      </colorScale>
    </cfRule>
  </conditionalFormatting>
  <conditionalFormatting sqref="N33:O33">
    <cfRule type="colorScale" priority="28">
      <colorScale>
        <cfvo type="min"/>
        <cfvo type="max"/>
        <color rgb="FFFFEF9C"/>
        <color rgb="FF63BE7B"/>
      </colorScale>
    </cfRule>
  </conditionalFormatting>
  <conditionalFormatting sqref="N36:O36">
    <cfRule type="colorScale" priority="27">
      <colorScale>
        <cfvo type="min"/>
        <cfvo type="max"/>
        <color rgb="FFFFEF9C"/>
        <color rgb="FF63BE7B"/>
      </colorScale>
    </cfRule>
  </conditionalFormatting>
  <conditionalFormatting sqref="N37:O37">
    <cfRule type="colorScale" priority="26">
      <colorScale>
        <cfvo type="min"/>
        <cfvo type="max"/>
        <color rgb="FFFFEF9C"/>
        <color rgb="FF63BE7B"/>
      </colorScale>
    </cfRule>
  </conditionalFormatting>
  <conditionalFormatting sqref="N41:O41 N40">
    <cfRule type="colorScale" priority="25">
      <colorScale>
        <cfvo type="min"/>
        <cfvo type="max"/>
        <color rgb="FFFFEF9C"/>
        <color rgb="FF63BE7B"/>
      </colorScale>
    </cfRule>
  </conditionalFormatting>
  <conditionalFormatting sqref="O40">
    <cfRule type="colorScale" priority="24">
      <colorScale>
        <cfvo type="min"/>
        <cfvo type="max"/>
        <color rgb="FFFFEF9C"/>
        <color rgb="FF63BE7B"/>
      </colorScale>
    </cfRule>
  </conditionalFormatting>
  <conditionalFormatting sqref="N42:O42">
    <cfRule type="colorScale" priority="23">
      <colorScale>
        <cfvo type="min"/>
        <cfvo type="max"/>
        <color rgb="FFFFEF9C"/>
        <color rgb="FF63BE7B"/>
      </colorScale>
    </cfRule>
  </conditionalFormatting>
  <conditionalFormatting sqref="N43:O43 N39 N2:O2 N8:O8 N13:O14 N27:O27 N34:O35 N38:O38">
    <cfRule type="colorScale" priority="106">
      <colorScale>
        <cfvo type="min"/>
        <cfvo type="max"/>
        <color rgb="FFFFEF9C"/>
        <color rgb="FF63BE7B"/>
      </colorScale>
    </cfRule>
  </conditionalFormatting>
  <conditionalFormatting sqref="N3:O3">
    <cfRule type="colorScale" priority="19">
      <colorScale>
        <cfvo type="min"/>
        <cfvo type="max"/>
        <color rgb="FFFFEF9C"/>
        <color rgb="FF63BE7B"/>
      </colorScale>
    </cfRule>
  </conditionalFormatting>
  <conditionalFormatting sqref="N4:O4">
    <cfRule type="colorScale" priority="18">
      <colorScale>
        <cfvo type="min"/>
        <cfvo type="max"/>
        <color rgb="FFFFEF9C"/>
        <color rgb="FF63BE7B"/>
      </colorScale>
    </cfRule>
  </conditionalFormatting>
  <conditionalFormatting sqref="N5:O5">
    <cfRule type="colorScale" priority="17">
      <colorScale>
        <cfvo type="min"/>
        <cfvo type="max"/>
        <color rgb="FFFFEF9C"/>
        <color rgb="FF63BE7B"/>
      </colorScale>
    </cfRule>
  </conditionalFormatting>
  <conditionalFormatting sqref="R2:S2">
    <cfRule type="colorScale" priority="107">
      <colorScale>
        <cfvo type="min"/>
        <cfvo type="max"/>
        <color rgb="FFFFEF9C"/>
        <color rgb="FF63BE7B"/>
      </colorScale>
    </cfRule>
  </conditionalFormatting>
  <conditionalFormatting sqref="T2">
    <cfRule type="colorScale" priority="108">
      <colorScale>
        <cfvo type="min"/>
        <cfvo type="max"/>
        <color rgb="FFFFEF9C"/>
        <color rgb="FF63BE7B"/>
      </colorScale>
    </cfRule>
  </conditionalFormatting>
  <conditionalFormatting sqref="Q2">
    <cfRule type="colorScale" priority="109">
      <colorScale>
        <cfvo type="min"/>
        <cfvo type="max"/>
        <color rgb="FFFFEF9C"/>
        <color rgb="FF63BE7B"/>
      </colorScale>
    </cfRule>
  </conditionalFormatting>
  <conditionalFormatting sqref="U2:V2">
    <cfRule type="colorScale" priority="15">
      <colorScale>
        <cfvo type="min"/>
        <cfvo type="max"/>
        <color rgb="FFFFEF9C"/>
        <color rgb="FF63BE7B"/>
      </colorScale>
    </cfRule>
  </conditionalFormatting>
  <conditionalFormatting sqref="W2">
    <cfRule type="colorScale" priority="16">
      <colorScale>
        <cfvo type="min"/>
        <cfvo type="max"/>
        <color rgb="FFFFEF9C"/>
        <color rgb="FF63BE7B"/>
      </colorScale>
    </cfRule>
  </conditionalFormatting>
  <conditionalFormatting sqref="N6:O6">
    <cfRule type="colorScale" priority="14">
      <colorScale>
        <cfvo type="min"/>
        <cfvo type="max"/>
        <color rgb="FFFFEF9C"/>
        <color rgb="FF63BE7B"/>
      </colorScale>
    </cfRule>
  </conditionalFormatting>
  <conditionalFormatting sqref="N7:O7">
    <cfRule type="colorScale" priority="13">
      <colorScale>
        <cfvo type="min"/>
        <cfvo type="max"/>
        <color rgb="FFFFEF9C"/>
        <color rgb="FF63BE7B"/>
      </colorScale>
    </cfRule>
  </conditionalFormatting>
  <conditionalFormatting sqref="N9:O9">
    <cfRule type="colorScale" priority="8">
      <colorScale>
        <cfvo type="min"/>
        <cfvo type="max"/>
        <color rgb="FFFFEF9C"/>
        <color rgb="FF63BE7B"/>
      </colorScale>
    </cfRule>
  </conditionalFormatting>
  <conditionalFormatting sqref="N10:O10">
    <cfRule type="colorScale" priority="7">
      <colorScale>
        <cfvo type="min"/>
        <cfvo type="max"/>
        <color rgb="FFFFEF9C"/>
        <color rgb="FF63BE7B"/>
      </colorScale>
    </cfRule>
  </conditionalFormatting>
  <conditionalFormatting sqref="N11:O11">
    <cfRule type="colorScale" priority="6">
      <colorScale>
        <cfvo type="min"/>
        <cfvo type="max"/>
        <color rgb="FFFFEF9C"/>
        <color rgb="FF63BE7B"/>
      </colorScale>
    </cfRule>
  </conditionalFormatting>
  <conditionalFormatting sqref="N12:O12">
    <cfRule type="colorScale" priority="5">
      <colorScale>
        <cfvo type="min"/>
        <cfvo type="max"/>
        <color rgb="FFFFEF9C"/>
        <color rgb="FF63BE7B"/>
      </colorScale>
    </cfRule>
  </conditionalFormatting>
  <conditionalFormatting sqref="N15:O15">
    <cfRule type="colorScale" priority="2">
      <colorScale>
        <cfvo type="min"/>
        <cfvo type="max"/>
        <color rgb="FFFFEF9C"/>
        <color rgb="FF63BE7B"/>
      </colorScale>
    </cfRule>
  </conditionalFormatting>
  <conditionalFormatting sqref="N16:O1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Даниленко Сергей Петрович</cp:lastModifiedBy>
  <dcterms:created xsi:type="dcterms:W3CDTF">2017-11-02T11:25:55Z</dcterms:created>
  <dcterms:modified xsi:type="dcterms:W3CDTF">2019-05-20T13:09:22Z</dcterms:modified>
</cp:coreProperties>
</file>